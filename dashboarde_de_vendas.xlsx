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5623ef3113fda5/Área de Trabalho/"/>
    </mc:Choice>
  </mc:AlternateContent>
  <xr:revisionPtr revIDLastSave="0" documentId="8_{03948B74-CCCE-4BAA-83A3-FAB1FBBB29FE}" xr6:coauthVersionLast="47" xr6:coauthVersionMax="47" xr10:uidLastSave="{00000000-0000-0000-0000-000000000000}"/>
  <bookViews>
    <workbookView xWindow="9270" yWindow="0" windowWidth="11760" windowHeight="7785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3" l="1"/>
  <c r="F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<sst xmlns="http://schemas.openxmlformats.org/spreadsheetml/2006/main" count="2023" uniqueCount="325">
  <si>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</si>
  <si>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</si>
  <si>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</si>
  <si>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</si>
  <si>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</si>
  <si>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</si>
  <si>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</si>
  <si>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</si>
  <si>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</si>
  <si>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</si>
  <si>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</si>
  <si>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</si>
  <si>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</si>
  <si>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</si>
  <si>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</si>
  <si>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</si>
  <si>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</si>
  <si>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</si>
  <si>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</si>
  <si>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</si>
  <si>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</si>
  <si>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</si>
  <si>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</si>
  <si>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</si>
  <si>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</si>
  <si>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</si>
  <si>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</si>
  <si>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</si>
  <si>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</si>
  <si>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</si>
  <si>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</si>
  <si>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</si>
  <si>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</si>
  <si>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</si>
  <si>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</si>
  <si>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</si>
  <si>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</si>
  <si>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</si>
  <si>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</si>
  <si>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</si>
  <si>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</si>
  <si>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</si>
  <si>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</si>
  <si>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</si>
  <si>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</si>
  <si>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</si>
  <si>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</si>
  <si>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</si>
  <si>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</si>
  <si>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</si>
  <si>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</si>
  <si>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</si>
  <si>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</si>
  <si>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</si>
  <si>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</si>
  <si>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</si>
  <si>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</si>
  <si>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</si>
  <si>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</si>
  <si>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</si>
  <si>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</si>
  <si>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</si>
  <si>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</si>
  <si>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</si>
  <si>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</si>
  <si>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</si>
  <si>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</si>
  <si>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</si>
  <si>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</si>
  <si>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</si>
  <si>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</si>
  <si>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</si>
  <si>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</si>
  <si>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</si>
  <si>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</si>
  <si>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</si>
  <si>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</si>
  <si>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</si>
  <si>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</si>
  <si>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</si>
  <si>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</si>
  <si>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</si>
  <si>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</si>
  <si>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</si>
  <si>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</si>
  <si>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</si>
  <si>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</si>
  <si>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</si>
  <si>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</si>
  <si>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</si>
  <si>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</si>
  <si>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</si>
  <si>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</si>
  <si>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</si>
  <si>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</si>
  <si>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</si>
  <si>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</si>
  <si>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</si>
  <si>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</si>
  <si>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</si>
  <si>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</si>
  <si>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</si>
  <si>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</si>
  <si>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</si>
  <si>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</si>
  <si>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</si>
  <si>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</si>
  <si>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</si>
  <si>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</si>
  <si>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</si>
  <si>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</si>
  <si>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</si>
  <si>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</si>
  <si>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</si>
  <si>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</si>
  <si>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</si>
  <si>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</si>
  <si>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</si>
  <si>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</si>
  <si>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</si>
  <si>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</si>
  <si>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</si>
  <si>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</si>
  <si>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</si>
  <si>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</si>
  <si>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</si>
  <si>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</si>
  <si>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</si>
  <si>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</si>
  <si>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</si>
  <si>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</si>
  <si>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</si>
  <si>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</si>
  <si>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</si>
  <si>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</si>
  <si>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</si>
  <si>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</si>
  <si>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</si>
  <si>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</si>
  <si>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</si>
  <si>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</si>
  <si>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</si>
  <si>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</si>
  <si>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</si>
  <si>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</si>
  <si>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</si>
  <si>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</si>
  <si>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</si>
  <si>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</si>
  <si>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</si>
  <si>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</si>
  <si>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</si>
  <si>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</si>
  <si>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</si>
  <si>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</si>
  <si>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</si>
  <si>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</si>
  <si>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</si>
  <si>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</si>
  <si>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</si>
  <si>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</si>
  <si>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</si>
  <si>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</si>
  <si>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</si>
  <si>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</si>
  <si>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</si>
  <si>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</si>
  <si>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</si>
  <si>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</si>
  <si>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</si>
  <si>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</si>
  <si>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</si>
  <si>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</si>
  <si>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</si>
  <si>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</si>
  <si>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</si>
  <si>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</si>
  <si>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</si>
  <si>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</si>
  <si>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</si>
  <si>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</si>
  <si>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</si>
  <si>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</si>
  <si>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</si>
  <si>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</si>
  <si>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</si>
  <si>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</si>
  <si>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</si>
  <si>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</si>
  <si>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</si>
  <si>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</si>
  <si>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</si>
  <si>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</si>
  <si>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</si>
  <si>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</si>
  <si>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</si>
  <si>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</si>
  <si>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</si>
  <si>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</si>
  <si>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</si>
  <si>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</si>
  <si>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</si>
  <si>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</si>
  <si>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</si>
  <si>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</si>
  <si>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</si>
  <si>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</si>
  <si>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</si>
  <si>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</si>
  <si>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</si>
  <si>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</si>
  <si>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</si>
  <si>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</si>
  <si>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</si>
  <si>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</si>
  <si>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</si>
  <si>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</si>
  <si>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</si>
  <si>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</si>
  <si>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</si>
  <si>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</si>
  <si>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</si>
  <si>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</si>
  <si>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</si>
  <si>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</si>
  <si>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</si>
  <si>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</si>
  <si>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</si>
  <si>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</si>
  <si>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</si>
  <si>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</si>
  <si>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</si>
  <si>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</si>
  <si>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</si>
  <si>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</si>
  <si>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</si>
  <si>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</si>
  <si>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</si>
  <si>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</si>
  <si>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</si>
  <si>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</si>
  <si>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</si>
  <si>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</si>
  <si>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</si>
  <si>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</si>
  <si>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</si>
  <si>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</si>
  <si>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</si>
  <si>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</si>
  <si>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</si>
  <si>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</si>
  <si>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</si>
  <si>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</si>
  <si>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</si>
  <si>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</si>
  <si>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</si>
  <si>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</si>
  <si>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</si>
  <si>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</si>
  <si>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</si>
  <si>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</si>
  <si>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</si>
  <si>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</si>
  <si>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</si>
  <si>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</si>
  <si>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</si>
  <si>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</si>
  <si>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</si>
  <si>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</si>
  <si>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</si>
  <si>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</si>
  <si>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</si>
  <si>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</si>
  <si>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</si>
  <si>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</si>
  <si>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</si>
  <si>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</si>
  <si>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</si>
  <si>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</si>
  <si>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</si>
  <si>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</si>
  <si>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</si>
  <si>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</si>
  <si>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</si>
  <si>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</si>
  <si>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</si>
  <si>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</si>
  <si>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</si>
  <si>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</si>
  <si>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</si>
  <si>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</si>
  <si>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</si>
  <si>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</si>
  <si>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</si>
  <si>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</si>
  <si>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</si>
  <si>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</si>
  <si>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</si>
  <si>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</si>
  <si>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</si>
  <si>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</si>
  <si>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</si>
  <si>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</si>
  <si>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</si>
  <si>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</si>
  <si>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</si>
  <si>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</si>
  <si>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</si>
  <si>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</si>
  <si>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</si>
  <si>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</si>
  <si>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</si>
  <si>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</si>
  <si>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</si>
  <si>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</si>
  <si>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</si>
  <si>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</si>
  <si>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</si>
  <si>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</si>
  <si>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Calculation period: 01/01/2024 - 31/12/2024  Update at: 25/012/2024</t>
  </si>
  <si>
    <t>&gt; bem vindo, Gestor(a)</t>
  </si>
  <si>
    <t xml:space="preserve">Perguntas de negócio e métricas </t>
  </si>
  <si>
    <t>Qual o Faturamento total de vendas por período (Anual, mensal. quaternal)?</t>
  </si>
  <si>
    <t>Qual o Total de vendas - EA Play Seanson Pass?</t>
  </si>
  <si>
    <t>Qual o Total de vendas - Minecraft Season Pass?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</si>
</sst>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5"/>
      <color rgb="FF22C55E"/>
      <name val="Segoe UI"/>
      <family val="2"/>
    </font>
    <font>
      <sz val="12"/>
      <color theme="0"/>
      <name val="Aptos Narrow"/>
      <family val="2"/>
      <scheme val="minor"/>
    </font>
    <font>
      <sz val="9"/>
      <color theme="0" tint="-0.3499862666707357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166" fontId="0" fillId="0" borderId="0" xfId="0" applyNumberFormat="1"/>
    <xf numFmtId="44" fontId="0" fillId="0" borderId="0" xfId="0" applyNumberFormat="1"/>
    <xf numFmtId="0" fontId="1" fillId="0" borderId="2" xfId="1" applyBorder="1"/>
    <xf numFmtId="0" fontId="4" fillId="0" borderId="2" xfId="1" applyFont="1" applyBorder="1"/>
    <xf numFmtId="0" fontId="1" fillId="0" borderId="0" xfId="1" applyBorder="1"/>
    <xf numFmtId="0" fontId="0" fillId="0" borderId="0" xfId="0" applyBorder="1"/>
    <xf numFmtId="0" fontId="6" fillId="4" borderId="0" xfId="0" applyFont="1" applyFill="1"/>
    <xf numFmtId="0" fontId="5" fillId="0" borderId="2" xfId="1" applyFont="1" applyBorder="1" applyAlignment="1">
      <alignment horizontal="left" indent="1"/>
    </xf>
    <xf numFmtId="0" fontId="7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4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b val="0"/>
        <i val="0"/>
        <color theme="0"/>
        <name val="Segoe UI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5562F89-8CEE-425C-A6B2-106AAC724A23}">
      <tableStyleElement type="wholeTable" dxfId="31"/>
      <tableStyleElement type="headerRow" dxfId="30"/>
    </tableStyle>
  </tableStyles>
  <colors>
    <mruColors>
      <color rgb="FF22C55E"/>
      <color rgb="FF5BF6A8"/>
      <color rgb="FFDDDDDD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[dashboarde_de_vendas.xlsx]C̳álculos!Tabela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0215370732404806E-2"/>
          <c:y val="0.22719726736971085"/>
          <c:w val="0.94199390764005408"/>
          <c:h val="0.686123301591023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75-42E7-A3DB-40362B1F9060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75-42E7-A3DB-40362B1F9060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5BF6A8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075-42E7-A3DB-40362B1F9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5BF6A8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C̳álculos!$D$13:$D$15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C̳álculos!$E$13:$E$15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75-42E7-A3DB-40362B1F9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336224"/>
        <c:axId val="1599431024"/>
      </c:barChart>
      <c:catAx>
        <c:axId val="148233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431024"/>
        <c:crosses val="autoZero"/>
        <c:auto val="1"/>
        <c:lblAlgn val="ctr"/>
        <c:lblOffset val="100"/>
        <c:noMultiLvlLbl val="0"/>
      </c:catAx>
      <c:valAx>
        <c:axId val="159943102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8233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9.png"/><Relationship Id="rId7" Type="http://schemas.openxmlformats.org/officeDocument/2006/relationships/image" Target="../media/image1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47625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47625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9</xdr:row>
      <xdr:rowOff>83343</xdr:rowOff>
    </xdr:from>
    <xdr:to>
      <xdr:col>0</xdr:col>
      <xdr:colOff>1607344</xdr:colOff>
      <xdr:row>19</xdr:row>
      <xdr:rowOff>166686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1F4D1AC-745E-4815-B7FE-3A9C207832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71687"/>
              <a:ext cx="1607344" cy="19883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214313</xdr:colOff>
      <xdr:row>3</xdr:row>
      <xdr:rowOff>35718</xdr:rowOff>
    </xdr:from>
    <xdr:to>
      <xdr:col>8</xdr:col>
      <xdr:colOff>440531</xdr:colOff>
      <xdr:row>11</xdr:row>
      <xdr:rowOff>11906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9B110736-EA84-1434-4CE0-FF42D09C5121}"/>
            </a:ext>
          </a:extLst>
        </xdr:cNvPr>
        <xdr:cNvGrpSpPr/>
      </xdr:nvGrpSpPr>
      <xdr:grpSpPr>
        <a:xfrm>
          <a:off x="1833563" y="869156"/>
          <a:ext cx="4107656" cy="1512094"/>
          <a:chOff x="1893094" y="881062"/>
          <a:chExt cx="2845593" cy="146498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2087CC2-7A6A-F6DD-5AFD-64A932B73DDA}"/>
              </a:ext>
            </a:extLst>
          </xdr:cNvPr>
          <xdr:cNvSpPr/>
        </xdr:nvSpPr>
        <xdr:spPr>
          <a:xfrm>
            <a:off x="1905000" y="892969"/>
            <a:ext cx="2821781" cy="133349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B3FC20B-ABC7-42CA-A608-F7B668B45DA8}"/>
              </a:ext>
            </a:extLst>
          </xdr:cNvPr>
          <xdr:cNvSpPr/>
        </xdr:nvSpPr>
        <xdr:spPr>
          <a:xfrm>
            <a:off x="2894498" y="1435893"/>
            <a:ext cx="1788316" cy="538162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7DCA9C1-03AD-4EB8-A0AB-F9602526BD75}" type="TxLink">
              <a:rPr lang="en-US" sz="2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4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2F31F57A-A792-4208-B508-84E635F1DE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15883" y="1189141"/>
            <a:ext cx="1034006" cy="1156909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57D6D1A1-AB46-29B0-5695-1238A316CC8D}"/>
              </a:ext>
            </a:extLst>
          </xdr:cNvPr>
          <xdr:cNvSpPr/>
        </xdr:nvSpPr>
        <xdr:spPr>
          <a:xfrm>
            <a:off x="1893094" y="881062"/>
            <a:ext cx="2845593" cy="381000"/>
          </a:xfrm>
          <a:prstGeom prst="round2SameRect">
            <a:avLst>
              <a:gd name="adj1" fmla="val 16667"/>
              <a:gd name="adj2" fmla="val 937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8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SUBSCRIPTIONS EA PLAY SEASON PASS</a:t>
            </a:r>
            <a:endParaRPr lang="pt-BR" sz="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333378</xdr:colOff>
      <xdr:row>3</xdr:row>
      <xdr:rowOff>1</xdr:rowOff>
    </xdr:from>
    <xdr:to>
      <xdr:col>17</xdr:col>
      <xdr:colOff>190502</xdr:colOff>
      <xdr:row>10</xdr:row>
      <xdr:rowOff>119063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75CEA2BC-50C8-CD85-A09C-9BC706EC72EF}"/>
            </a:ext>
          </a:extLst>
        </xdr:cNvPr>
        <xdr:cNvGrpSpPr/>
      </xdr:nvGrpSpPr>
      <xdr:grpSpPr>
        <a:xfrm>
          <a:off x="6441284" y="833439"/>
          <a:ext cx="4548187" cy="1464468"/>
          <a:chOff x="4948202" y="803102"/>
          <a:chExt cx="3190875" cy="1256679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6973B57E-112F-4BC7-A0A0-D4B57702FB0B}"/>
              </a:ext>
            </a:extLst>
          </xdr:cNvPr>
          <xdr:cNvGrpSpPr/>
        </xdr:nvGrpSpPr>
        <xdr:grpSpPr>
          <a:xfrm>
            <a:off x="4948202" y="803102"/>
            <a:ext cx="3190875" cy="1256679"/>
            <a:chOff x="1890103" y="728352"/>
            <a:chExt cx="2845593" cy="1355242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4D9F901D-8FF0-E0F2-0076-F2863B9D7E24}"/>
                </a:ext>
              </a:extLst>
            </xdr:cNvPr>
            <xdr:cNvSpPr/>
          </xdr:nvSpPr>
          <xdr:spPr>
            <a:xfrm>
              <a:off x="1905000" y="892969"/>
              <a:ext cx="2821781" cy="11906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5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739BB00A-F6B9-F9D3-099D-08ACC1EA8AC6}"/>
                </a:ext>
              </a:extLst>
            </xdr:cNvPr>
            <xdr:cNvSpPr/>
          </xdr:nvSpPr>
          <xdr:spPr>
            <a:xfrm>
              <a:off x="2969902" y="1317470"/>
              <a:ext cx="1716880" cy="538162"/>
            </a:xfrm>
            <a:prstGeom prst="roundRect">
              <a:avLst>
                <a:gd name="adj" fmla="val 5000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EAECBCB-75E9-43D1-95C2-E3595A1AE483}" type="TxLink">
                <a:rPr lang="en-US" sz="24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R$ 1.140,00</a:t>
              </a:fld>
              <a:endParaRPr lang="pt-BR" sz="24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BBD12EFE-CC49-0349-B333-60D4A6EB39F8}"/>
                </a:ext>
              </a:extLst>
            </xdr:cNvPr>
            <xdr:cNvSpPr/>
          </xdr:nvSpPr>
          <xdr:spPr>
            <a:xfrm>
              <a:off x="1890103" y="728352"/>
              <a:ext cx="2845593" cy="375822"/>
            </a:xfrm>
            <a:prstGeom prst="round2SameRect">
              <a:avLst>
                <a:gd name="adj1" fmla="val 16667"/>
                <a:gd name="adj2" fmla="val 9375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8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8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DE SUBSCRIPTIONS MINECRAFT SEASON PASS</a:t>
              </a:r>
              <a:endParaRPr lang="pt-BR" sz="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0CD4307A-B8C9-43D4-A491-AAD1AA9A3859}"/>
              </a:ext>
            </a:extLst>
          </xdr:cNvPr>
          <xdr:cNvGrpSpPr/>
        </xdr:nvGrpSpPr>
        <xdr:grpSpPr>
          <a:xfrm>
            <a:off x="5014836" y="1203546"/>
            <a:ext cx="1144560" cy="678707"/>
            <a:chOff x="3410800" y="5385021"/>
            <a:chExt cx="1405215" cy="678707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2E2A71F8-5FB4-A382-175F-D67960F9F0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852199" y="5385021"/>
              <a:ext cx="463699" cy="508861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1D940753-3E73-8FB2-77F1-A657B27E43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10800" y="5830462"/>
              <a:ext cx="1405215" cy="233266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130969</xdr:colOff>
      <xdr:row>11</xdr:row>
      <xdr:rowOff>1</xdr:rowOff>
    </xdr:from>
    <xdr:to>
      <xdr:col>17</xdr:col>
      <xdr:colOff>190500</xdr:colOff>
      <xdr:row>25</xdr:row>
      <xdr:rowOff>107158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CD330A8-16A2-FC07-37D9-BEA55CA9E632}"/>
            </a:ext>
          </a:extLst>
        </xdr:cNvPr>
        <xdr:cNvGrpSpPr/>
      </xdr:nvGrpSpPr>
      <xdr:grpSpPr>
        <a:xfrm>
          <a:off x="1750219" y="2369345"/>
          <a:ext cx="9239250" cy="2774157"/>
          <a:chOff x="1750219" y="2321720"/>
          <a:chExt cx="9239250" cy="2774157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8ACD893-9632-948B-DB7B-68D85BE0F5BA}"/>
              </a:ext>
            </a:extLst>
          </xdr:cNvPr>
          <xdr:cNvGrpSpPr/>
        </xdr:nvGrpSpPr>
        <xdr:grpSpPr>
          <a:xfrm>
            <a:off x="1750219" y="2345533"/>
            <a:ext cx="9203531" cy="2750344"/>
            <a:chOff x="1833563" y="881064"/>
            <a:chExt cx="5060156" cy="275034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2EB55547-0E09-3F04-EB35-DE1D8342C5F2}"/>
                </a:ext>
              </a:extLst>
            </xdr:cNvPr>
            <xdr:cNvSpPr/>
          </xdr:nvSpPr>
          <xdr:spPr>
            <a:xfrm>
              <a:off x="1833563" y="881064"/>
              <a:ext cx="5060156" cy="2750344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23E12AC-44D7-452C-8534-756EF5026440}"/>
                </a:ext>
              </a:extLst>
            </xdr:cNvPr>
            <xdr:cNvGraphicFramePr>
              <a:graphicFrameLocks/>
            </xdr:cNvGraphicFramePr>
          </xdr:nvGraphicFramePr>
          <xdr:xfrm>
            <a:off x="2095500" y="1047751"/>
            <a:ext cx="4572000" cy="24907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39A40E90-7B7F-44FC-8F9D-5F8DF9E59C7B}"/>
              </a:ext>
            </a:extLst>
          </xdr:cNvPr>
          <xdr:cNvSpPr/>
        </xdr:nvSpPr>
        <xdr:spPr>
          <a:xfrm>
            <a:off x="1762126" y="2321720"/>
            <a:ext cx="9227343" cy="353291"/>
          </a:xfrm>
          <a:prstGeom prst="round2SameRect">
            <a:avLst>
              <a:gd name="adj1" fmla="val 16667"/>
              <a:gd name="adj2" fmla="val 937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8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8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SUBSCRIPTIONS XBOX GAME PASS</a:t>
            </a:r>
            <a:endParaRPr lang="pt-BR" sz="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107157</xdr:colOff>
      <xdr:row>2</xdr:row>
      <xdr:rowOff>23812</xdr:rowOff>
    </xdr:from>
    <xdr:to>
      <xdr:col>0</xdr:col>
      <xdr:colOff>802482</xdr:colOff>
      <xdr:row>6</xdr:row>
      <xdr:rowOff>266699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D0B67EAA-28A8-4691-8DCF-51DD76970C71}"/>
            </a:ext>
          </a:extLst>
        </xdr:cNvPr>
        <xdr:cNvSpPr/>
      </xdr:nvSpPr>
      <xdr:spPr>
        <a:xfrm>
          <a:off x="107157" y="750093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71437</xdr:colOff>
      <xdr:row>0</xdr:row>
      <xdr:rowOff>142874</xdr:rowOff>
    </xdr:from>
    <xdr:to>
      <xdr:col>0</xdr:col>
      <xdr:colOff>1572034</xdr:colOff>
      <xdr:row>1</xdr:row>
      <xdr:rowOff>92678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DA41C828-3633-4849-8B79-E005DBA2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" y="142874"/>
          <a:ext cx="1500597" cy="461773"/>
        </a:xfrm>
        <a:prstGeom prst="rect">
          <a:avLst/>
        </a:prstGeom>
      </xdr:spPr>
    </xdr:pic>
    <xdr:clientData/>
  </xdr:twoCellAnchor>
  <xdr:twoCellAnchor>
    <xdr:from>
      <xdr:col>0</xdr:col>
      <xdr:colOff>869156</xdr:colOff>
      <xdr:row>2</xdr:row>
      <xdr:rowOff>11907</xdr:rowOff>
    </xdr:from>
    <xdr:to>
      <xdr:col>0</xdr:col>
      <xdr:colOff>1564481</xdr:colOff>
      <xdr:row>6</xdr:row>
      <xdr:rowOff>254794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D61A528A-C0B9-4121-908F-FE9A2EADE455}"/>
            </a:ext>
          </a:extLst>
        </xdr:cNvPr>
        <xdr:cNvSpPr/>
      </xdr:nvSpPr>
      <xdr:spPr>
        <a:xfrm>
          <a:off x="869156" y="738188"/>
          <a:ext cx="695325" cy="6953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yla" refreshedDate="46159.535212847222" createdVersion="8" refreshedVersion="8" minRefreshableVersion="3" recordCount="295" xr:uid="{C82776B2-1DD1-40F0-8DF5-C7710A1160E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466644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83806-3850-4B2A-8376-4E9750708FF5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31:E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3F302-4D6A-4C95-AFA1-AE2176F55DA7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21:E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 numFmtId="44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351B3-B8FF-44F3-97FC-2CD37136C606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12:E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27">
      <pivotArea outline="0" collapsedLevelsAreSubtotals="1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78BBB27-A448-4502-A894-A2D8C4DD6CFA}" sourceName="Subscription Type">
  <pivotTables>
    <pivotTable tabId="3" name="Tabela dinâmica2"/>
    <pivotTable tabId="3" name="Tabela dinâmica3"/>
    <pivotTable tabId="3" name="Tabela dinâmica5"/>
  </pivotTables>
  <data>
    <tabular pivotCacheId="214666445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A570AE6-B75D-46A0-A530-7F15D0E757D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4"/>
    <tableColumn id="2" xr3:uid="{53DD39D0-2220-4121-9E9D-4EAA7E151C0F}" name="Name" dataDxfId="43"/>
    <tableColumn id="3" xr3:uid="{4F5FF271-4C57-4BE0-8F2C-F82C8551625C}" name="Plan" dataDxfId="42"/>
    <tableColumn id="4" xr3:uid="{8C17EB93-79B9-4E55-B8F7-BEB82F8253E9}" name="Start Date" dataDxfId="41"/>
    <tableColumn id="5" xr3:uid="{48CEDF9B-1689-482A-A828-5CCE7713264A}" name="Auto Renewal" dataDxfId="40"/>
    <tableColumn id="6" xr3:uid="{78B82374-9AA7-4E38-AE4F-78CDE6C83720}" name="Subscription Price" dataDxfId="39" dataCellStyle="Moeda"/>
    <tableColumn id="7" xr3:uid="{F2433F68-AF33-49D0-B1FB-19A396074EDE}" name="Subscription Type" dataDxfId="38"/>
    <tableColumn id="8" xr3:uid="{FD4D9C95-F6E5-4933-9068-A71FF7DF9343}" name="EA Play Season Pass" dataDxfId="37"/>
    <tableColumn id="13" xr3:uid="{978DD0D2-834E-4CE4-A39B-30976086932F}" name="EA Play Season Pass_x000a_Price" dataDxfId="36" dataCellStyle="Moeda"/>
    <tableColumn id="9" xr3:uid="{6E29F111-C395-4580-9DAD-3407D9E8B1A4}" name="Minecraft Season Pass" dataDxfId="35"/>
    <tableColumn id="10" xr3:uid="{EF544EAA-7F25-4FD5-A10E-8E62804DB9E3}" name="Minecraft Season Pass Price" dataDxfId="34" dataCellStyle="Moeda"/>
    <tableColumn id="11" xr3:uid="{7F6EB64A-1F07-4E48-9F0F-AC7D9DCD26F8}" name="Coupon Value" dataDxfId="33" dataCellStyle="Moeda"/>
    <tableColumn id="12" xr3:uid="{2B04ABC8-DE6F-426E-ADC0-D8AFC68CA58E}" name="Total Value" dataDxfId="3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261" zoomScale="90" zoomScaleNormal="90" workbookViewId="0">
      <selection activeCell="F1" sqref="F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6:F35"/>
  <sheetViews>
    <sheetView showGridLines="0" topLeftCell="B24" workbookViewId="0">
      <selection activeCell="C17" sqref="C17"/>
    </sheetView>
  </sheetViews>
  <sheetFormatPr defaultRowHeight="15" x14ac:dyDescent="0.25"/>
  <cols>
    <col min="3" max="4" width="18.42578125" bestFit="1" customWidth="1"/>
    <col min="5" max="5" width="35.140625" bestFit="1" customWidth="1"/>
    <col min="6" max="6" width="37.710937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4:5" ht="20.25" thickBot="1" x14ac:dyDescent="0.35">
      <c r="D6" s="1" t="s">
        <v>321</v>
      </c>
      <c r="E6" s="1"/>
    </row>
    <row r="7" spans="4:5" ht="15.75" thickTop="1" x14ac:dyDescent="0.25"/>
    <row r="9" spans="4:5" x14ac:dyDescent="0.25">
      <c r="D9" t="s">
        <v>322</v>
      </c>
    </row>
    <row r="10" spans="4:5" x14ac:dyDescent="0.25">
      <c r="D10" s="12" t="s">
        <v>16</v>
      </c>
      <c r="E10" t="s">
        <v>27</v>
      </c>
    </row>
    <row r="12" spans="4:5" x14ac:dyDescent="0.25">
      <c r="D12" s="12" t="s">
        <v>313</v>
      </c>
      <c r="E12" t="s">
        <v>315</v>
      </c>
    </row>
    <row r="13" spans="4:5" x14ac:dyDescent="0.25">
      <c r="D13" s="13" t="s">
        <v>23</v>
      </c>
      <c r="E13" s="16">
        <v>806</v>
      </c>
    </row>
    <row r="14" spans="4:5" x14ac:dyDescent="0.25">
      <c r="D14" s="13" t="s">
        <v>19</v>
      </c>
      <c r="E14" s="16">
        <v>1502</v>
      </c>
    </row>
    <row r="15" spans="4:5" x14ac:dyDescent="0.25">
      <c r="D15" s="13" t="s">
        <v>314</v>
      </c>
      <c r="E15" s="16">
        <v>2308</v>
      </c>
    </row>
    <row r="16" spans="4:5" x14ac:dyDescent="0.25">
      <c r="D16" s="13"/>
      <c r="E16" s="16"/>
    </row>
    <row r="17" spans="4:6" x14ac:dyDescent="0.25">
      <c r="D17" s="13"/>
      <c r="E17" s="16"/>
    </row>
    <row r="18" spans="4:6" x14ac:dyDescent="0.25">
      <c r="D18" s="13" t="s">
        <v>323</v>
      </c>
    </row>
    <row r="19" spans="4:6" x14ac:dyDescent="0.25">
      <c r="D19" s="12" t="s">
        <v>16</v>
      </c>
      <c r="E19" t="s">
        <v>27</v>
      </c>
    </row>
    <row r="21" spans="4:6" x14ac:dyDescent="0.25">
      <c r="D21" s="12" t="s">
        <v>313</v>
      </c>
      <c r="E21" t="s">
        <v>317</v>
      </c>
    </row>
    <row r="22" spans="4:6" x14ac:dyDescent="0.25">
      <c r="D22" s="13" t="s">
        <v>22</v>
      </c>
      <c r="E22" s="16">
        <v>0</v>
      </c>
    </row>
    <row r="23" spans="4:6" x14ac:dyDescent="0.25">
      <c r="D23" s="13" t="s">
        <v>26</v>
      </c>
      <c r="E23" s="16">
        <v>0</v>
      </c>
    </row>
    <row r="24" spans="4:6" x14ac:dyDescent="0.25">
      <c r="D24" s="13" t="s">
        <v>18</v>
      </c>
      <c r="E24" s="16">
        <v>990</v>
      </c>
    </row>
    <row r="25" spans="4:6" x14ac:dyDescent="0.25">
      <c r="D25" s="13" t="s">
        <v>314</v>
      </c>
      <c r="E25" s="16">
        <v>990</v>
      </c>
      <c r="F25" s="15">
        <f>GETPIVOTDATA("EA Play Season Pass
Price",$D$21)</f>
        <v>990</v>
      </c>
    </row>
    <row r="28" spans="4:6" x14ac:dyDescent="0.25">
      <c r="D28" s="13" t="s">
        <v>324</v>
      </c>
    </row>
    <row r="29" spans="4:6" x14ac:dyDescent="0.25">
      <c r="D29" s="12" t="s">
        <v>16</v>
      </c>
      <c r="E29" t="s">
        <v>27</v>
      </c>
    </row>
    <row r="31" spans="4:6" x14ac:dyDescent="0.25">
      <c r="D31" s="12" t="s">
        <v>313</v>
      </c>
      <c r="E31" t="s">
        <v>318</v>
      </c>
    </row>
    <row r="32" spans="4:6" x14ac:dyDescent="0.25">
      <c r="D32" s="13" t="s">
        <v>22</v>
      </c>
      <c r="E32" s="16">
        <v>0</v>
      </c>
    </row>
    <row r="33" spans="4:6" x14ac:dyDescent="0.25">
      <c r="D33" s="13" t="s">
        <v>26</v>
      </c>
      <c r="E33" s="16">
        <v>480</v>
      </c>
    </row>
    <row r="34" spans="4:6" x14ac:dyDescent="0.25">
      <c r="D34" s="13" t="s">
        <v>18</v>
      </c>
      <c r="E34" s="16">
        <v>660</v>
      </c>
    </row>
    <row r="35" spans="4:6" x14ac:dyDescent="0.25">
      <c r="D35" s="13" t="s">
        <v>314</v>
      </c>
      <c r="E35" s="16">
        <v>1140</v>
      </c>
      <c r="F35" s="15">
        <f>GETPIVOTDATA("Minecraft Season Pass Price",$D$31)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64"/>
  <sheetViews>
    <sheetView showGridLines="0" tabSelected="1" zoomScale="80" zoomScaleNormal="80" workbookViewId="0">
      <selection activeCell="A9" sqref="A9"/>
    </sheetView>
  </sheetViews>
  <sheetFormatPr defaultRowHeight="15" x14ac:dyDescent="0.25"/>
  <cols>
    <col min="1" max="1" width="24.28515625" style="4" customWidth="1"/>
    <col min="2" max="2" width="3.5703125" customWidth="1"/>
    <col min="12" max="12" width="6.5703125" customWidth="1"/>
  </cols>
  <sheetData>
    <row r="1" spans="1:21" ht="40.5" customHeight="1" thickBot="1" x14ac:dyDescent="0.5">
      <c r="C1" s="22" t="s">
        <v>316</v>
      </c>
      <c r="D1" s="17"/>
      <c r="E1" s="18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9"/>
      <c r="S1" s="19"/>
      <c r="T1" s="19"/>
      <c r="U1" s="20"/>
    </row>
    <row r="2" spans="1:21" ht="17.25" customHeight="1" thickTop="1" x14ac:dyDescent="0.25">
      <c r="C2" s="23" t="s">
        <v>319</v>
      </c>
    </row>
    <row r="3" spans="1:21" s="14" customFormat="1" ht="8.25" customHeight="1" x14ac:dyDescent="0.25">
      <c r="A3" s="4"/>
    </row>
    <row r="4" spans="1:21" s="14" customFormat="1" ht="7.5" customHeight="1" x14ac:dyDescent="0.25">
      <c r="A4" s="4"/>
    </row>
    <row r="5" spans="1:21" s="14" customFormat="1" ht="10.5" customHeight="1" x14ac:dyDescent="0.25">
      <c r="A5" s="4"/>
    </row>
    <row r="6" spans="1:21" s="14" customFormat="1" ht="9.75" customHeight="1" x14ac:dyDescent="0.25">
      <c r="A6" s="4"/>
    </row>
    <row r="7" spans="1:21" s="14" customFormat="1" ht="33" customHeight="1" x14ac:dyDescent="0.25">
      <c r="A7" s="4"/>
    </row>
    <row r="8" spans="1:21" s="14" customFormat="1" ht="15.75" x14ac:dyDescent="0.25">
      <c r="A8" s="21" t="s">
        <v>320</v>
      </c>
    </row>
    <row r="9" spans="1:21" s="14" customFormat="1" x14ac:dyDescent="0.25">
      <c r="A9" s="4"/>
    </row>
    <row r="10" spans="1:21" s="14" customFormat="1" x14ac:dyDescent="0.25">
      <c r="A10" s="4"/>
    </row>
    <row r="11" spans="1:21" s="14" customFormat="1" x14ac:dyDescent="0.25">
      <c r="A11" s="4"/>
    </row>
    <row r="12" spans="1:21" s="14" customFormat="1" x14ac:dyDescent="0.25">
      <c r="A12" s="4"/>
    </row>
    <row r="13" spans="1:21" s="14" customFormat="1" x14ac:dyDescent="0.25">
      <c r="A13" s="4"/>
    </row>
    <row r="14" spans="1:21" s="14" customFormat="1" x14ac:dyDescent="0.25">
      <c r="A14" s="4"/>
    </row>
    <row r="15" spans="1:21" s="14" customFormat="1" x14ac:dyDescent="0.25">
      <c r="A15" s="4"/>
    </row>
    <row r="16" spans="1:21" s="14" customFormat="1" x14ac:dyDescent="0.25">
      <c r="A16" s="4"/>
    </row>
    <row r="17" spans="1:1" s="14" customFormat="1" x14ac:dyDescent="0.25">
      <c r="A17" s="4"/>
    </row>
    <row r="18" spans="1:1" s="14" customFormat="1" x14ac:dyDescent="0.25">
      <c r="A18" s="4"/>
    </row>
    <row r="19" spans="1:1" s="14" customFormat="1" x14ac:dyDescent="0.25">
      <c r="A19" s="4"/>
    </row>
    <row r="20" spans="1:1" s="14" customFormat="1" x14ac:dyDescent="0.25">
      <c r="A20" s="4"/>
    </row>
    <row r="21" spans="1:1" s="14" customFormat="1" x14ac:dyDescent="0.25">
      <c r="A21" s="4"/>
    </row>
    <row r="22" spans="1:1" s="14" customFormat="1" x14ac:dyDescent="0.25">
      <c r="A22" s="4"/>
    </row>
    <row r="23" spans="1:1" s="14" customFormat="1" x14ac:dyDescent="0.25">
      <c r="A23" s="4"/>
    </row>
    <row r="24" spans="1:1" s="14" customFormat="1" x14ac:dyDescent="0.25">
      <c r="A24" s="4"/>
    </row>
    <row r="25" spans="1:1" s="14" customFormat="1" x14ac:dyDescent="0.25">
      <c r="A25" s="4"/>
    </row>
    <row r="26" spans="1:1" s="14" customFormat="1" x14ac:dyDescent="0.25">
      <c r="A26" s="4"/>
    </row>
    <row r="27" spans="1:1" s="14" customFormat="1" x14ac:dyDescent="0.25">
      <c r="A27" s="4"/>
    </row>
    <row r="28" spans="1:1" s="14" customFormat="1" x14ac:dyDescent="0.25">
      <c r="A28" s="4"/>
    </row>
    <row r="29" spans="1:1" s="14" customFormat="1" x14ac:dyDescent="0.25">
      <c r="A29" s="4"/>
    </row>
    <row r="30" spans="1:1" s="14" customFormat="1" x14ac:dyDescent="0.25">
      <c r="A30" s="4"/>
    </row>
    <row r="31" spans="1:1" s="14" customFormat="1" x14ac:dyDescent="0.25">
      <c r="A31" s="4"/>
    </row>
    <row r="32" spans="1:1" s="14" customFormat="1" x14ac:dyDescent="0.25">
      <c r="A32" s="4"/>
    </row>
    <row r="33" spans="1:1" s="14" customFormat="1" x14ac:dyDescent="0.25">
      <c r="A33" s="4"/>
    </row>
    <row r="34" spans="1:1" s="14" customFormat="1" x14ac:dyDescent="0.25">
      <c r="A34" s="4"/>
    </row>
    <row r="35" spans="1:1" s="14" customFormat="1" x14ac:dyDescent="0.25">
      <c r="A35" s="4"/>
    </row>
    <row r="36" spans="1:1" s="14" customFormat="1" x14ac:dyDescent="0.25">
      <c r="A36" s="4"/>
    </row>
    <row r="37" spans="1:1" s="14" customFormat="1" x14ac:dyDescent="0.25">
      <c r="A37" s="4"/>
    </row>
    <row r="38" spans="1:1" s="14" customFormat="1" x14ac:dyDescent="0.25">
      <c r="A38" s="4"/>
    </row>
    <row r="39" spans="1:1" s="14" customFormat="1" x14ac:dyDescent="0.25">
      <c r="A39" s="4"/>
    </row>
    <row r="40" spans="1:1" s="14" customFormat="1" x14ac:dyDescent="0.25">
      <c r="A40" s="4"/>
    </row>
    <row r="41" spans="1:1" s="14" customFormat="1" x14ac:dyDescent="0.25">
      <c r="A41" s="4"/>
    </row>
    <row r="42" spans="1:1" s="14" customFormat="1" x14ac:dyDescent="0.25">
      <c r="A42" s="4"/>
    </row>
    <row r="43" spans="1:1" s="14" customFormat="1" x14ac:dyDescent="0.25">
      <c r="A43" s="4"/>
    </row>
    <row r="44" spans="1:1" s="14" customFormat="1" x14ac:dyDescent="0.25">
      <c r="A44" s="4"/>
    </row>
    <row r="45" spans="1:1" s="14" customFormat="1" x14ac:dyDescent="0.25">
      <c r="A45" s="4"/>
    </row>
    <row r="46" spans="1:1" s="14" customFormat="1" x14ac:dyDescent="0.25">
      <c r="A46" s="4"/>
    </row>
    <row r="47" spans="1:1" s="14" customFormat="1" x14ac:dyDescent="0.25">
      <c r="A47" s="4"/>
    </row>
    <row r="48" spans="1:1" s="14" customFormat="1" x14ac:dyDescent="0.25">
      <c r="A48" s="4"/>
    </row>
    <row r="49" spans="1:1" s="14" customFormat="1" x14ac:dyDescent="0.25">
      <c r="A49" s="4"/>
    </row>
    <row r="50" spans="1:1" s="14" customFormat="1" x14ac:dyDescent="0.25">
      <c r="A50" s="4"/>
    </row>
    <row r="51" spans="1:1" s="14" customFormat="1" x14ac:dyDescent="0.25">
      <c r="A51" s="4"/>
    </row>
    <row r="52" spans="1:1" s="14" customFormat="1" x14ac:dyDescent="0.25">
      <c r="A52" s="4"/>
    </row>
    <row r="53" spans="1:1" s="14" customFormat="1" x14ac:dyDescent="0.25">
      <c r="A53" s="4"/>
    </row>
    <row r="54" spans="1:1" s="14" customFormat="1" x14ac:dyDescent="0.25">
      <c r="A54" s="4"/>
    </row>
    <row r="55" spans="1:1" s="14" customFormat="1" x14ac:dyDescent="0.25">
      <c r="A55" s="4"/>
    </row>
    <row r="56" spans="1:1" s="14" customFormat="1" x14ac:dyDescent="0.25">
      <c r="A56" s="4"/>
    </row>
    <row r="57" spans="1:1" s="14" customFormat="1" x14ac:dyDescent="0.25">
      <c r="A57" s="4"/>
    </row>
    <row r="58" spans="1:1" s="14" customFormat="1" x14ac:dyDescent="0.25">
      <c r="A58" s="4"/>
    </row>
    <row r="59" spans="1:1" s="14" customFormat="1" x14ac:dyDescent="0.25">
      <c r="A59" s="4"/>
    </row>
    <row r="60" spans="1:1" s="14" customFormat="1" x14ac:dyDescent="0.25">
      <c r="A60" s="4"/>
    </row>
    <row r="61" spans="1:1" s="14" customFormat="1" x14ac:dyDescent="0.25">
      <c r="A61" s="4"/>
    </row>
    <row r="62" spans="1:1" s="14" customFormat="1" x14ac:dyDescent="0.25">
      <c r="A62" s="4"/>
    </row>
    <row r="63" spans="1:1" s="14" customFormat="1" x14ac:dyDescent="0.25">
      <c r="A63" s="4"/>
    </row>
    <row r="64" spans="1:1" s="14" customFormat="1" x14ac:dyDescent="0.25">
      <c r="A64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thayla de oliveira</cp:lastModifiedBy>
  <dcterms:created xsi:type="dcterms:W3CDTF">2024-12-19T13:13:10Z</dcterms:created>
  <dcterms:modified xsi:type="dcterms:W3CDTF">2026-05-17T22:25:41Z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